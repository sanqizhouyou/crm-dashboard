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报价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1">
    <font>
      <name val="Calibri"/>
      <family val="2"/>
      <color theme="1"/>
      <sz val="11"/>
      <scheme val="minor"/>
    </font>
    <font>
      <b val="1"/>
      <color rgb="001A1A2E"/>
      <sz val="14"/>
    </font>
    <font>
      <b val="1"/>
      <color rgb="00FFFFFF"/>
      <sz val="11"/>
    </font>
    <font>
      <b val="1"/>
    </font>
    <font>
      <b val="1"/>
      <color rgb="00C0392B"/>
    </font>
    <font>
      <b val="1"/>
      <color rgb="00888888"/>
      <sz val="10"/>
    </font>
    <font>
      <b val="1"/>
      <color rgb="001E8449"/>
    </font>
    <font>
      <b val="1"/>
      <sz val="12"/>
    </font>
    <font>
      <b val="1"/>
      <color rgb="00C0392B"/>
      <sz val="12"/>
    </font>
    <font>
      <color rgb="00888888"/>
      <sz val="1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8D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164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0" fontId="7" fillId="0" borderId="1" pivotButton="0" quotePrefix="0" xfId="0"/>
    <xf numFmtId="164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9" fontId="10" fillId="4" borderId="0" applyAlignment="1" pivotButton="0" quotePrefix="0" xfId="0">
      <alignment horizont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8" customHeight="1">
      <c r="A1" s="1" t="inlineStr">
        <is>
          <t>首尔夜市 · 品牌产品配置报价表（数量×单价自动计算）</t>
        </is>
      </c>
    </row>
    <row r="2" ht="24" customHeight="1">
      <c r="A2" s="2" t="inlineStr">
        <is>
          <t>产品</t>
        </is>
      </c>
      <c r="B2" s="2" t="inlineStr">
        <is>
          <t>单价（元）</t>
        </is>
      </c>
      <c r="C2" s="2" t="inlineStr">
        <is>
          <t>Standard Bread</t>
        </is>
      </c>
      <c r="D2" s="2" t="inlineStr">
        <is>
          <t>小夏盐田</t>
        </is>
      </c>
      <c r="E2" s="2" t="inlineStr">
        <is>
          <t>La brick</t>
        </is>
      </c>
      <c r="F2" s="2" t="inlineStr">
        <is>
          <t>酒神堂</t>
        </is>
      </c>
      <c r="G2" s="2" t="inlineStr">
        <is>
          <t>火花불티</t>
        </is>
      </c>
      <c r="H2" s="2" t="inlineStr">
        <is>
          <t>孝道炸鸡</t>
        </is>
      </c>
      <c r="I2" s="2" t="inlineStr">
        <is>
          <t>Twozzim</t>
        </is>
      </c>
      <c r="J2" s="2" t="inlineStr">
        <is>
          <t>Farm Market</t>
        </is>
      </c>
    </row>
    <row r="3">
      <c r="A3" s="3" t="inlineStr">
        <is>
          <t>门店管理系统（POS）</t>
        </is>
      </c>
      <c r="B3" s="4" t="n">
        <v>1780</v>
      </c>
      <c r="C3" s="5" t="n">
        <v>1</v>
      </c>
      <c r="D3" s="5" t="n">
        <v>1</v>
      </c>
      <c r="E3" s="5" t="n">
        <v>1</v>
      </c>
      <c r="F3" s="5" t="n">
        <v>1</v>
      </c>
      <c r="G3" s="5" t="n">
        <v>1</v>
      </c>
      <c r="H3" s="5" t="n">
        <v>1</v>
      </c>
      <c r="I3" s="6" t="n"/>
      <c r="J3" s="6" t="n"/>
    </row>
    <row r="4">
      <c r="A4" s="3" t="inlineStr">
        <is>
          <t>商家小程序</t>
        </is>
      </c>
      <c r="B4" s="4" t="n">
        <v>600</v>
      </c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3" t="inlineStr">
        <is>
          <t>会员管理</t>
        </is>
      </c>
      <c r="B5" s="4" t="n">
        <v>1440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1</v>
      </c>
      <c r="H5" s="5" t="n">
        <v>1</v>
      </c>
      <c r="I5" s="6" t="n"/>
      <c r="J5" s="6" t="n"/>
    </row>
    <row r="6">
      <c r="A6" s="3" t="inlineStr">
        <is>
          <t>外卖聚合</t>
        </is>
      </c>
      <c r="B6" s="4" t="n">
        <v>290</v>
      </c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3" t="inlineStr">
        <is>
          <t>KDS智能厨房</t>
        </is>
      </c>
      <c r="B7" s="4" t="n">
        <v>750</v>
      </c>
      <c r="C7" s="6" t="n"/>
      <c r="D7" s="6" t="n"/>
      <c r="E7" s="5" t="n">
        <v>1</v>
      </c>
      <c r="F7" s="5" t="n">
        <v>1</v>
      </c>
      <c r="G7" s="5" t="n">
        <v>1</v>
      </c>
      <c r="H7" s="6" t="n"/>
      <c r="I7" s="6" t="n"/>
      <c r="J7" s="6" t="n"/>
    </row>
    <row r="8">
      <c r="A8" s="3" t="inlineStr">
        <is>
          <t>美团点评排队</t>
        </is>
      </c>
      <c r="B8" s="4" t="n">
        <v>520</v>
      </c>
      <c r="C8" s="6" t="n"/>
      <c r="D8" s="6" t="n"/>
      <c r="E8" s="6" t="n"/>
      <c r="F8" s="6" t="n"/>
      <c r="G8" s="5" t="n">
        <v>1</v>
      </c>
      <c r="H8" s="6" t="n"/>
      <c r="I8" s="6" t="n"/>
      <c r="J8" s="6" t="n"/>
    </row>
    <row r="9">
      <c r="A9" s="3" t="inlineStr">
        <is>
          <t>智能叫号</t>
        </is>
      </c>
      <c r="B9" s="4" t="n">
        <v>380</v>
      </c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3" t="inlineStr">
        <is>
          <t>数电发票</t>
        </is>
      </c>
      <c r="B10" s="4" t="n">
        <v>1088</v>
      </c>
      <c r="C10" s="5" t="n">
        <v>1</v>
      </c>
      <c r="D10" s="6" t="n"/>
      <c r="E10" s="5" t="n">
        <v>1</v>
      </c>
      <c r="F10" s="5" t="n">
        <v>1</v>
      </c>
      <c r="G10" s="5" t="n">
        <v>1</v>
      </c>
      <c r="H10" s="6" t="n"/>
      <c r="I10" s="6" t="n"/>
      <c r="J10" s="6" t="n"/>
    </row>
    <row r="11">
      <c r="A11" s="3" t="inlineStr">
        <is>
          <t>门店进销存</t>
        </is>
      </c>
      <c r="B11" s="4" t="n">
        <v>750</v>
      </c>
      <c r="C11" s="5" t="n">
        <v>1</v>
      </c>
      <c r="D11" s="5" t="n">
        <v>1</v>
      </c>
      <c r="E11" s="5" t="n">
        <v>1</v>
      </c>
      <c r="F11" s="5" t="n">
        <v>1</v>
      </c>
      <c r="G11" s="5" t="n">
        <v>1</v>
      </c>
      <c r="H11" s="6" t="n"/>
      <c r="I11" s="6" t="n"/>
      <c r="J11" s="6" t="n"/>
    </row>
    <row r="12">
      <c r="A12" s="3" t="inlineStr">
        <is>
          <t>副收银系统</t>
        </is>
      </c>
      <c r="B12" s="4" t="n">
        <v>660</v>
      </c>
      <c r="C12" s="6" t="n"/>
      <c r="D12" s="6" t="n"/>
      <c r="E12" s="6" t="n"/>
      <c r="F12" s="6" t="n"/>
      <c r="G12" s="5" t="n">
        <v>1</v>
      </c>
      <c r="H12" s="6" t="n"/>
      <c r="I12" s="6" t="n"/>
      <c r="J12" s="6" t="n"/>
    </row>
    <row r="13">
      <c r="A13" s="3" t="inlineStr">
        <is>
          <t>门店代运维</t>
        </is>
      </c>
      <c r="B13" s="4" t="n">
        <v>1600</v>
      </c>
      <c r="C13" s="5" t="n">
        <v>1</v>
      </c>
      <c r="D13" s="5" t="n">
        <v>1</v>
      </c>
      <c r="E13" s="5" t="n">
        <v>1</v>
      </c>
      <c r="F13" s="5" t="n">
        <v>1</v>
      </c>
      <c r="G13" s="5" t="n">
        <v>1</v>
      </c>
      <c r="H13" s="5" t="n">
        <v>1</v>
      </c>
      <c r="I13" s="6" t="n"/>
      <c r="J13" s="6" t="n"/>
    </row>
    <row r="14">
      <c r="A14" s="3" t="inlineStr">
        <is>
          <t>P2平板</t>
        </is>
      </c>
      <c r="B14" s="4" t="n">
        <v>1398</v>
      </c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3" t="inlineStr">
        <is>
          <t>S4mini Pro</t>
        </is>
      </c>
      <c r="B15" s="4" t="n">
        <v>1698</v>
      </c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3" t="inlineStr">
        <is>
          <t>S5 Pro</t>
        </is>
      </c>
      <c r="B16" s="4" t="n">
        <v>1398</v>
      </c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3" t="inlineStr">
        <is>
          <t>S5S Pro</t>
        </is>
      </c>
      <c r="B17" s="4" t="n">
        <v>1698</v>
      </c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3" t="inlineStr">
        <is>
          <t>80N打印机</t>
        </is>
      </c>
      <c r="B18" s="4" t="n">
        <v>269</v>
      </c>
      <c r="C18" s="5" t="n">
        <v>3</v>
      </c>
      <c r="D18" s="5" t="n">
        <v>3</v>
      </c>
      <c r="E18" s="5" t="n">
        <v>3</v>
      </c>
      <c r="F18" s="5" t="n">
        <v>3</v>
      </c>
      <c r="G18" s="5" t="n">
        <v>3</v>
      </c>
      <c r="H18" s="5" t="n">
        <v>2</v>
      </c>
      <c r="I18" s="6" t="n"/>
      <c r="J18" s="6" t="n"/>
    </row>
    <row r="19">
      <c r="A19" s="3" t="inlineStr">
        <is>
          <t>LP2标签打印机</t>
        </is>
      </c>
      <c r="B19" s="4" t="n">
        <v>429</v>
      </c>
      <c r="C19" s="5" t="n">
        <v>1</v>
      </c>
      <c r="D19" s="5" t="n">
        <v>1</v>
      </c>
      <c r="E19" s="6" t="n"/>
      <c r="F19" s="5" t="n">
        <v>1</v>
      </c>
      <c r="G19" s="6" t="n"/>
      <c r="H19" s="6" t="n"/>
      <c r="I19" s="6" t="n"/>
      <c r="J19" s="6" t="n"/>
    </row>
    <row r="20">
      <c r="A20" s="7" t="inlineStr">
        <is>
          <t>原价小计</t>
        </is>
      </c>
      <c r="B20" s="3" t="n"/>
      <c r="C20" s="8">
        <f>SUMPRODUCT($B$3:$B$19,C3:C19)</f>
        <v/>
      </c>
      <c r="D20" s="8">
        <f>SUMPRODUCT($B$3:$B$19,D3:D19)</f>
        <v/>
      </c>
      <c r="E20" s="8">
        <f>SUMPRODUCT($B$3:$B$19,E3:E19)</f>
        <v/>
      </c>
      <c r="F20" s="8">
        <f>SUMPRODUCT($B$3:$B$19,F3:F19)</f>
        <v/>
      </c>
      <c r="G20" s="8">
        <f>SUMPRODUCT($B$3:$B$19,G3:G19)</f>
        <v/>
      </c>
      <c r="H20" s="8">
        <f>SUMPRODUCT($B$3:$B$19,H3:H19)</f>
        <v/>
      </c>
      <c r="I20" s="8">
        <f>SUMPRODUCT($B$3:$B$19,I3:I19)</f>
        <v/>
      </c>
      <c r="J20" s="8">
        <f>SUMPRODUCT($B$3:$B$19,J3:J19)</f>
        <v/>
      </c>
    </row>
    <row r="21">
      <c r="A21" s="7" t="inlineStr">
        <is>
          <t>折后小计</t>
        </is>
      </c>
      <c r="B21" s="9" t="inlineStr">
        <is>
          <t>折扣率→</t>
        </is>
      </c>
      <c r="C21" s="10">
        <f>ROUND(C20*$C$24,0)</f>
        <v/>
      </c>
      <c r="D21" s="10">
        <f>ROUND(D20*$C$24,0)</f>
        <v/>
      </c>
      <c r="E21" s="10">
        <f>ROUND(E20*$C$24,0)</f>
        <v/>
      </c>
      <c r="F21" s="10">
        <f>ROUND(F20*$C$24,0)</f>
        <v/>
      </c>
      <c r="G21" s="10">
        <f>ROUND(G20*$C$24,0)</f>
        <v/>
      </c>
      <c r="H21" s="10">
        <f>ROUND(H20*$C$24,0)</f>
        <v/>
      </c>
      <c r="I21" s="10">
        <f>ROUND(I20*$C$24,0)</f>
        <v/>
      </c>
      <c r="J21" s="10">
        <f>ROUND(J20*$C$24,0)</f>
        <v/>
      </c>
    </row>
    <row r="22">
      <c r="A22" s="11" t="inlineStr">
        <is>
          <t>折后总计（已选品牌合计）</t>
        </is>
      </c>
      <c r="B22" s="3" t="n"/>
      <c r="C22" s="12">
        <f>SUM(C21:J21)</f>
        <v/>
      </c>
    </row>
    <row r="24">
      <c r="B24" s="13" t="inlineStr">
        <is>
          <t>折扣率(可改)</t>
        </is>
      </c>
      <c r="C24" s="14" t="n">
        <v>0.9</v>
      </c>
    </row>
    <row r="26">
      <c r="A26" s="15" t="inlineStr">
        <is>
          <t>说明：表格内数字为数量（软件=1套，硬件=台数）；黄色底=已勾选；空白=未勾选，可自行填写数量，小计自动重算。Twozzim / Farm Market 未勾选任何产品。</t>
        </is>
      </c>
    </row>
  </sheetData>
  <mergeCells count="3">
    <mergeCell ref="A26:J26"/>
    <mergeCell ref="A1:J1"/>
    <mergeCell ref="C22:D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2026-09-09T03:32:53Z</dcterms:created>
  <dcterms:modified xsi:type="dcterms:W3CDTF">2026-09-09T03:32:53Z</dcterms:modified>
</cp:coreProperties>
</file>