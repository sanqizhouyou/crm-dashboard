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10">
    <font>
      <name val="Calibri"/>
      <family val="2"/>
      <color theme="1"/>
      <sz val="11"/>
      <scheme val="minor"/>
    </font>
    <font>
      <b val="1"/>
      <color rgb="001A1A2E"/>
      <sz val="14"/>
    </font>
    <font>
      <b val="1"/>
      <color rgb="00FFFFFF"/>
      <sz val="11"/>
    </font>
    <font>
      <b val="1"/>
      <color rgb="001A1A2E"/>
      <sz val="12"/>
    </font>
    <font>
      <b val="1"/>
    </font>
    <font>
      <b val="1"/>
      <sz val="12"/>
    </font>
    <font>
      <b val="1"/>
      <color rgb="00C0392B"/>
      <sz val="12"/>
    </font>
    <font>
      <b val="1"/>
      <color rgb="001E8449"/>
      <sz val="12"/>
    </font>
    <font>
      <b val="1"/>
      <color rgb="001E8449"/>
    </font>
    <font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CD00"/>
      </patternFill>
    </fill>
    <fill>
      <patternFill patternType="solid">
        <fgColor rgb="00FFF8DD"/>
      </patternFill>
    </fill>
    <fill>
      <patternFill patternType="solid">
        <fgColor rgb="00F0F0F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5" borderId="1" pivotButton="0" quotePrefix="0" xfId="0"/>
    <xf numFmtId="0" fontId="0" fillId="5" borderId="1" pivotButton="0" quotePrefix="0" xfId="0"/>
    <xf numFmtId="164" fontId="4" fillId="5" borderId="1" applyAlignment="1" pivotButton="0" quotePrefix="0" xfId="0">
      <alignment horizontal="center"/>
    </xf>
    <xf numFmtId="0" fontId="5" fillId="0" borderId="1" pivotButton="0" quotePrefix="0" xfId="0"/>
    <xf numFmtId="164" fontId="6" fillId="0" borderId="1" applyAlignment="1" pivotButton="0" quotePrefix="0" xfId="0">
      <alignment horizontal="center"/>
    </xf>
    <xf numFmtId="0" fontId="7" fillId="0" borderId="1" pivotButton="0" quotePrefix="0" xfId="0"/>
    <xf numFmtId="164" fontId="8" fillId="6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8" customHeight="1">
      <c r="A1" s="1" t="inlineStr">
        <is>
          <t>首尔夜市 · 品牌产品配置报价表（2026-09-09勾选版）</t>
        </is>
      </c>
    </row>
    <row r="2" ht="24" customHeight="1">
      <c r="A2" s="2" t="inlineStr">
        <is>
          <t>产品</t>
        </is>
      </c>
      <c r="B2" s="2" t="inlineStr">
        <is>
          <t>单价（元）</t>
        </is>
      </c>
      <c r="C2" s="2" t="inlineStr">
        <is>
          <t>Standard Bread</t>
        </is>
      </c>
      <c r="D2" s="2" t="inlineStr">
        <is>
          <t>小夏盐田</t>
        </is>
      </c>
      <c r="E2" s="2" t="inlineStr">
        <is>
          <t>La brick</t>
        </is>
      </c>
      <c r="F2" s="2" t="inlineStr">
        <is>
          <t>酒神堂</t>
        </is>
      </c>
      <c r="G2" s="2" t="inlineStr">
        <is>
          <t>火花불티</t>
        </is>
      </c>
      <c r="H2" s="2" t="inlineStr">
        <is>
          <t>孝道炸鸡</t>
        </is>
      </c>
      <c r="I2" s="2" t="inlineStr">
        <is>
          <t>Twozzim</t>
        </is>
      </c>
      <c r="J2" s="2" t="inlineStr">
        <is>
          <t>Farm Market</t>
        </is>
      </c>
    </row>
    <row r="3" ht="20" customHeight="1">
      <c r="A3" s="3" t="inlineStr">
        <is>
          <t>一、软件产品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门店管理系统（POS）</t>
        </is>
      </c>
      <c r="B4" s="6" t="n">
        <v>1780</v>
      </c>
      <c r="C4" s="7" t="n">
        <v>1</v>
      </c>
      <c r="D4" s="7" t="n">
        <v>1</v>
      </c>
      <c r="E4" s="7" t="n">
        <v>1</v>
      </c>
      <c r="F4" s="7" t="n">
        <v>1</v>
      </c>
      <c r="G4" s="7" t="n">
        <v>1</v>
      </c>
      <c r="H4" s="7" t="n">
        <v>1</v>
      </c>
      <c r="I4" s="8" t="n"/>
      <c r="J4" s="8" t="n"/>
    </row>
    <row r="5">
      <c r="A5" s="5" t="inlineStr">
        <is>
          <t>商家小程序</t>
        </is>
      </c>
      <c r="B5" s="6" t="n">
        <v>600</v>
      </c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5" t="inlineStr">
        <is>
          <t>会员管理</t>
        </is>
      </c>
      <c r="B6" s="6" t="n">
        <v>1440</v>
      </c>
      <c r="C6" s="7" t="n">
        <v>1</v>
      </c>
      <c r="D6" s="7" t="n">
        <v>1</v>
      </c>
      <c r="E6" s="7" t="n">
        <v>1</v>
      </c>
      <c r="F6" s="7" t="n">
        <v>1</v>
      </c>
      <c r="G6" s="7" t="n">
        <v>1</v>
      </c>
      <c r="H6" s="7" t="n">
        <v>1</v>
      </c>
      <c r="I6" s="8" t="n"/>
      <c r="J6" s="8" t="n"/>
    </row>
    <row r="7">
      <c r="A7" s="5" t="inlineStr">
        <is>
          <t>外卖聚合</t>
        </is>
      </c>
      <c r="B7" s="6" t="n">
        <v>290</v>
      </c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5" t="inlineStr">
        <is>
          <t>KDS智能厨房</t>
        </is>
      </c>
      <c r="B8" s="6" t="n">
        <v>750</v>
      </c>
      <c r="C8" s="8" t="n"/>
      <c r="D8" s="8" t="n"/>
      <c r="E8" s="7" t="n">
        <v>1</v>
      </c>
      <c r="F8" s="7" t="n">
        <v>1</v>
      </c>
      <c r="G8" s="7" t="n">
        <v>1</v>
      </c>
      <c r="H8" s="8" t="n"/>
      <c r="I8" s="8" t="n"/>
      <c r="J8" s="8" t="n"/>
    </row>
    <row r="9">
      <c r="A9" s="5" t="inlineStr">
        <is>
          <t>美团点评排队</t>
        </is>
      </c>
      <c r="B9" s="6" t="n">
        <v>520</v>
      </c>
      <c r="C9" s="8" t="n"/>
      <c r="D9" s="8" t="n"/>
      <c r="E9" s="8" t="n"/>
      <c r="F9" s="8" t="n"/>
      <c r="G9" s="7" t="n">
        <v>1</v>
      </c>
      <c r="H9" s="8" t="n"/>
      <c r="I9" s="8" t="n"/>
      <c r="J9" s="8" t="n"/>
    </row>
    <row r="10">
      <c r="A10" s="5" t="inlineStr">
        <is>
          <t>智能叫号</t>
        </is>
      </c>
      <c r="B10" s="6" t="n">
        <v>380</v>
      </c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5" t="inlineStr">
        <is>
          <t>数电发票</t>
        </is>
      </c>
      <c r="B11" s="6" t="n">
        <v>1088</v>
      </c>
      <c r="C11" s="7" t="n">
        <v>1</v>
      </c>
      <c r="D11" s="8" t="n"/>
      <c r="E11" s="7" t="n">
        <v>1</v>
      </c>
      <c r="F11" s="7" t="n">
        <v>1</v>
      </c>
      <c r="G11" s="7" t="n">
        <v>1</v>
      </c>
      <c r="H11" s="8" t="n"/>
      <c r="I11" s="8" t="n"/>
      <c r="J11" s="8" t="n"/>
    </row>
    <row r="12">
      <c r="A12" s="5" t="inlineStr">
        <is>
          <t>门店进销存</t>
        </is>
      </c>
      <c r="B12" s="6" t="n">
        <v>750</v>
      </c>
      <c r="C12" s="7" t="n">
        <v>1</v>
      </c>
      <c r="D12" s="7" t="n">
        <v>1</v>
      </c>
      <c r="E12" s="7" t="n">
        <v>1</v>
      </c>
      <c r="F12" s="7" t="n">
        <v>1</v>
      </c>
      <c r="G12" s="7" t="n">
        <v>1</v>
      </c>
      <c r="H12" s="8" t="n"/>
      <c r="I12" s="8" t="n"/>
      <c r="J12" s="8" t="n"/>
    </row>
    <row r="13">
      <c r="A13" s="5" t="inlineStr">
        <is>
          <t>副收银系统</t>
        </is>
      </c>
      <c r="B13" s="6" t="n">
        <v>660</v>
      </c>
      <c r="C13" s="8" t="n"/>
      <c r="D13" s="8" t="n"/>
      <c r="E13" s="8" t="n"/>
      <c r="F13" s="8" t="n"/>
      <c r="G13" s="7" t="n">
        <v>1</v>
      </c>
      <c r="H13" s="8" t="n"/>
      <c r="I13" s="8" t="n"/>
      <c r="J13" s="8" t="n"/>
    </row>
    <row r="14">
      <c r="A14" s="5" t="inlineStr">
        <is>
          <t>门店代运维</t>
        </is>
      </c>
      <c r="B14" s="6" t="n">
        <v>1600</v>
      </c>
      <c r="C14" s="7" t="n">
        <v>1</v>
      </c>
      <c r="D14" s="7" t="n">
        <v>1</v>
      </c>
      <c r="E14" s="7" t="n">
        <v>1</v>
      </c>
      <c r="F14" s="7" t="n">
        <v>1</v>
      </c>
      <c r="G14" s="7" t="n">
        <v>1</v>
      </c>
      <c r="H14" s="7" t="n">
        <v>1</v>
      </c>
      <c r="I14" s="8" t="n"/>
      <c r="J14" s="8" t="n"/>
    </row>
    <row r="15">
      <c r="A15" s="9" t="inlineStr">
        <is>
          <t>软件小计</t>
        </is>
      </c>
      <c r="B15" s="10" t="n"/>
      <c r="C15" s="11">
        <f>SUMPRODUCT($B$4:$B$14,C4:C14)</f>
        <v/>
      </c>
      <c r="D15" s="11">
        <f>SUMPRODUCT($B$4:$B$14,D4:D14)</f>
        <v/>
      </c>
      <c r="E15" s="11">
        <f>SUMPRODUCT($B$4:$B$14,E4:E14)</f>
        <v/>
      </c>
      <c r="F15" s="11">
        <f>SUMPRODUCT($B$4:$B$14,F4:F14)</f>
        <v/>
      </c>
      <c r="G15" s="11">
        <f>SUMPRODUCT($B$4:$B$14,G4:G14)</f>
        <v/>
      </c>
      <c r="H15" s="11">
        <f>SUMPRODUCT($B$4:$B$14,H4:H14)</f>
        <v/>
      </c>
      <c r="I15" s="11">
        <f>SUMPRODUCT($B$4:$B$14,I4:I14)</f>
        <v/>
      </c>
      <c r="J15" s="11">
        <f>SUMPRODUCT($B$4:$B$14,J4:J14)</f>
        <v/>
      </c>
    </row>
    <row r="16" ht="20" customHeight="1">
      <c r="A16" s="3" t="inlineStr">
        <is>
          <t>二、硬件设备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5" t="inlineStr">
        <is>
          <t>P2平板</t>
        </is>
      </c>
      <c r="B17" s="6" t="n">
        <v>1398</v>
      </c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5" t="inlineStr">
        <is>
          <t>S4mini Pro</t>
        </is>
      </c>
      <c r="B18" s="6" t="n">
        <v>1698</v>
      </c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5" t="inlineStr">
        <is>
          <t>S5 Pro</t>
        </is>
      </c>
      <c r="B19" s="6" t="n">
        <v>1398</v>
      </c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5" t="inlineStr">
        <is>
          <t>S5S Pro</t>
        </is>
      </c>
      <c r="B20" s="6" t="n">
        <v>1698</v>
      </c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5" t="inlineStr">
        <is>
          <t>80N打印机</t>
        </is>
      </c>
      <c r="B21" s="6" t="n">
        <v>269</v>
      </c>
      <c r="C21" s="7" t="n">
        <v>3</v>
      </c>
      <c r="D21" s="7" t="n">
        <v>3</v>
      </c>
      <c r="E21" s="7" t="n">
        <v>3</v>
      </c>
      <c r="F21" s="7" t="n">
        <v>3</v>
      </c>
      <c r="G21" s="7" t="n">
        <v>3</v>
      </c>
      <c r="H21" s="7" t="n">
        <v>2</v>
      </c>
      <c r="I21" s="8" t="n"/>
      <c r="J21" s="8" t="n"/>
    </row>
    <row r="22">
      <c r="A22" s="5" t="inlineStr">
        <is>
          <t>LP2标签打印机</t>
        </is>
      </c>
      <c r="B22" s="6" t="n">
        <v>429</v>
      </c>
      <c r="C22" s="7" t="n">
        <v>1</v>
      </c>
      <c r="D22" s="7" t="n">
        <v>1</v>
      </c>
      <c r="E22" s="8" t="n"/>
      <c r="F22" s="7" t="n">
        <v>1</v>
      </c>
      <c r="G22" s="8" t="n"/>
      <c r="H22" s="8" t="n"/>
      <c r="I22" s="8" t="n"/>
      <c r="J22" s="8" t="n"/>
    </row>
    <row r="23">
      <c r="A23" s="9" t="inlineStr">
        <is>
          <t>硬件小计</t>
        </is>
      </c>
      <c r="B23" s="10" t="n"/>
      <c r="C23" s="11">
        <f>SUMPRODUCT($B$17:$B$22,C17:C22)</f>
        <v/>
      </c>
      <c r="D23" s="11">
        <f>SUMPRODUCT($B$17:$B$22,D17:D22)</f>
        <v/>
      </c>
      <c r="E23" s="11">
        <f>SUMPRODUCT($B$17:$B$22,E17:E22)</f>
        <v/>
      </c>
      <c r="F23" s="11">
        <f>SUMPRODUCT($B$17:$B$22,F17:F22)</f>
        <v/>
      </c>
      <c r="G23" s="11">
        <f>SUMPRODUCT($B$17:$B$22,G17:G22)</f>
        <v/>
      </c>
      <c r="H23" s="11">
        <f>SUMPRODUCT($B$17:$B$22,H17:H22)</f>
        <v/>
      </c>
      <c r="I23" s="11">
        <f>SUMPRODUCT($B$17:$B$22,I17:I22)</f>
        <v/>
      </c>
      <c r="J23" s="11">
        <f>SUMPRODUCT($B$17:$B$22,J17:J22)</f>
        <v/>
      </c>
    </row>
    <row r="24">
      <c r="A24" s="12" t="inlineStr">
        <is>
          <t>原价合计（软件+硬件）</t>
        </is>
      </c>
      <c r="B24" s="5" t="n"/>
      <c r="C24" s="13">
        <f>C15+C23</f>
        <v/>
      </c>
      <c r="D24" s="13">
        <f>D15+D23</f>
        <v/>
      </c>
      <c r="E24" s="13">
        <f>E15+E23</f>
        <v/>
      </c>
      <c r="F24" s="13">
        <f>F15+F23</f>
        <v/>
      </c>
      <c r="G24" s="13">
        <f>G15+G23</f>
        <v/>
      </c>
      <c r="H24" s="13">
        <f>H15+H23</f>
        <v/>
      </c>
      <c r="I24" s="13">
        <f>I15+I23</f>
        <v/>
      </c>
      <c r="J24" s="13">
        <f>J15+J23</f>
        <v/>
      </c>
    </row>
    <row r="25" ht="22" customHeight="1">
      <c r="A25" s="14" t="inlineStr">
        <is>
          <t>折后价（手动填写）</t>
        </is>
      </c>
      <c r="B25" s="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2" t="inlineStr">
        <is>
          <t>折后总计（8品牌）</t>
        </is>
      </c>
      <c r="B26" s="5" t="n"/>
      <c r="C26" s="16">
        <f>SUM(C25:J25)</f>
        <v/>
      </c>
    </row>
    <row r="28">
      <c r="A28" s="17" t="inlineStr">
        <is>
          <t>说明：数字=数量（软件1套、硬件台数），黄底=已勾选；空白格可填数量自动计入小计。黄色折后价行由你手动填写，折后总计自动求和。</t>
        </is>
      </c>
    </row>
  </sheetData>
  <mergeCells count="5">
    <mergeCell ref="A1:J1"/>
    <mergeCell ref="A3:J3"/>
    <mergeCell ref="A16:J16"/>
    <mergeCell ref="C26:D26"/>
    <mergeCell ref="A28:J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2026-09-09T03:43:53Z</dcterms:created>
  <dcterms:modified xsi:type="dcterms:W3CDTF">2026-09-09T03:43:53Z</dcterms:modified>
</cp:coreProperties>
</file>